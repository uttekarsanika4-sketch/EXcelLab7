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A230E9A-F05B-4124-9CAF-1C87047606DA}" xr6:coauthVersionLast="47" xr6:coauthVersionMax="47" xr10:uidLastSave="{00000000-0000-0000-0000-000000000000}"/>
  <bookViews>
    <workbookView xWindow="-108" yWindow="-108" windowWidth="23256" windowHeight="12456" xr2:uid="{5B7C117C-276E-4EE6-AEEC-54701E516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L12" i="1"/>
  <c r="L13" i="1"/>
  <c r="K16" i="1" a="1"/>
  <c r="K16" i="1" s="1"/>
  <c r="L16" i="1" s="1"/>
  <c r="L9" i="1"/>
  <c r="L8" i="1"/>
  <c r="L6" i="1"/>
  <c r="L5" i="1"/>
  <c r="O3" i="1"/>
  <c r="L3" i="1"/>
  <c r="L2" i="1"/>
  <c r="L18" i="1" l="1"/>
  <c r="L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<sst xmlns="http://schemas.openxmlformats.org/spreadsheetml/2006/main" count="47" uniqueCount="31">
  <si>
    <t>PURPOSE</t>
  </si>
  <si>
    <t>EMPLOYEE</t>
  </si>
  <si>
    <t>DEPARTMENT</t>
  </si>
  <si>
    <t>SALARY</t>
  </si>
  <si>
    <t>SALES</t>
  </si>
  <si>
    <t>PERFORMANCE SCORE</t>
  </si>
  <si>
    <t>RAHUL</t>
  </si>
  <si>
    <t>PRIYA</t>
  </si>
  <si>
    <t>AMIT</t>
  </si>
  <si>
    <t>SNEHA</t>
  </si>
  <si>
    <t>KARAN</t>
  </si>
  <si>
    <t>NEHA</t>
  </si>
  <si>
    <t>ROHIT</t>
  </si>
  <si>
    <t>POOJA</t>
  </si>
  <si>
    <t>AKASH</t>
  </si>
  <si>
    <t>MEENA</t>
  </si>
  <si>
    <t>HR</t>
  </si>
  <si>
    <t>IT</t>
  </si>
  <si>
    <t>sum based on conditions</t>
  </si>
  <si>
    <t>count based on conditions</t>
  </si>
  <si>
    <t>avg based on conditions</t>
  </si>
  <si>
    <t>SUM</t>
  </si>
  <si>
    <t>SUMIF</t>
  </si>
  <si>
    <t>AVG</t>
  </si>
  <si>
    <t>AVGIF</t>
  </si>
  <si>
    <t>COUNT</t>
  </si>
  <si>
    <t>COUNTIFS</t>
  </si>
  <si>
    <t>COUNTIF</t>
  </si>
  <si>
    <t>UNIQUE</t>
  </si>
  <si>
    <t>AVGIFS</t>
  </si>
  <si>
    <t>SUMIFS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</si>
</sst>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8030D-EB43-4123-94D7-E8FDA0F86413}" name="Table1" displayName="Table1" ref="E2:I13" totalsRowShown="0">
  <autoFilter ref="E2:I13" xr:uid="{8078030D-EB43-4123-94D7-E8FDA0F86413}"/>
  <tableColumns count="5">
    <tableColumn id="1" xr3:uid="{A951658A-4695-4C21-94FD-6665118657C9}" name="EMPLOYEE"/>
    <tableColumn id="2" xr3:uid="{A7D0679E-08AB-4B74-B5AA-83DEDCABD7F9}" name="DEPARTMENT"/>
    <tableColumn id="3" xr3:uid="{4CB14BF7-5A74-41BF-B4A3-AD1A28F2D9FA}" name="SALARY"/>
    <tableColumn id="4" xr3:uid="{D48DF47D-7993-4DAD-BEB2-65EBF9C54A4B}" name="SALES"/>
    <tableColumn id="5" xr3:uid="{E8C4FC06-14D6-41E8-BF5B-87FFEC7AC57D}" name="PERFORMANCE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DABA-7677-4A4A-824C-626F933A5734}">
  <dimension ref="A1:P18"/>
  <sheetViews>
    <sheetView tabSelected="1" workbookViewId="0">
      <selection activeCell="L12" sqref="L12"/>
    </sheetView>
  </sheetViews>
  <sheetFormatPr defaultRowHeight="14.4" x14ac:dyDescent="0.3"/>
  <cols>
    <col min="5" max="5" width="12" customWidth="1"/>
    <col min="6" max="6" width="14.6640625" customWidth="1"/>
    <col min="7" max="7" width="9.33203125" customWidth="1"/>
    <col min="9" max="9" width="21.88671875" customWidth="1"/>
    <col min="11" max="11" width="9.44140625" bestFit="1" customWidth="1"/>
  </cols>
  <sheetData>
    <row r="1" spans="1:16" x14ac:dyDescent="0.3">
      <c r="B1" s="1" t="s">
        <v>0</v>
      </c>
    </row>
    <row r="2" spans="1:16" x14ac:dyDescent="0.3">
      <c r="A2" t="s">
        <v>22</v>
      </c>
      <c r="B2" t="s">
        <v>18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K2" s="2" t="s">
        <v>21</v>
      </c>
      <c r="L2">
        <f>SUM(Table1[[#All],[SALARY]])</f>
        <v>468000</v>
      </c>
    </row>
    <row r="3" spans="1:16" x14ac:dyDescent="0.3">
      <c r="A3" t="s">
        <v>27</v>
      </c>
      <c r="B3" t="s">
        <v>19</v>
      </c>
      <c r="E3" t="s">
        <v>6</v>
      </c>
      <c r="F3" t="s">
        <v>4</v>
      </c>
      <c r="G3">
        <v>35000</v>
      </c>
      <c r="H3">
        <v>85000</v>
      </c>
      <c r="I3">
        <v>82</v>
      </c>
      <c r="K3" s="2" t="s">
        <v>22</v>
      </c>
      <c r="L3">
        <f>SUMIF(Table1[[#All],[DEPARTMENT]],"SALES",Table1[[#All],[SALARY]])</f>
        <v>194000</v>
      </c>
      <c r="M3" t="s">
        <v>4</v>
      </c>
      <c r="O3">
        <f>SUMIF(Table1[[#All],[DEPARTMENT]],"HR",Table1[[#All],[SALARY]])</f>
        <v>121000</v>
      </c>
      <c r="P3" t="s">
        <v>16</v>
      </c>
    </row>
    <row r="4" spans="1:16" x14ac:dyDescent="0.3">
      <c r="A4" t="s">
        <v>24</v>
      </c>
      <c r="B4" t="s">
        <v>20</v>
      </c>
      <c r="E4" t="s">
        <v>7</v>
      </c>
      <c r="F4" t="s">
        <v>16</v>
      </c>
      <c r="G4">
        <v>40000</v>
      </c>
      <c r="H4">
        <v>60000</v>
      </c>
      <c r="I4">
        <v>75</v>
      </c>
    </row>
    <row r="5" spans="1:16" x14ac:dyDescent="0.3">
      <c r="E5" t="s">
        <v>8</v>
      </c>
      <c r="F5" t="s">
        <v>4</v>
      </c>
      <c r="G5">
        <v>45000</v>
      </c>
      <c r="H5">
        <v>95000</v>
      </c>
      <c r="I5">
        <v>91</v>
      </c>
      <c r="K5" s="3" t="s">
        <v>23</v>
      </c>
      <c r="L5">
        <f>AVERAGE(Table1[[#All],[SALARY]])</f>
        <v>42545.454545454544</v>
      </c>
    </row>
    <row r="6" spans="1:16" x14ac:dyDescent="0.3">
      <c r="E6" t="s">
        <v>9</v>
      </c>
      <c r="F6" t="s">
        <v>17</v>
      </c>
      <c r="G6">
        <v>50000</v>
      </c>
      <c r="H6">
        <v>70000</v>
      </c>
      <c r="I6">
        <v>88</v>
      </c>
      <c r="K6" s="3" t="s">
        <v>24</v>
      </c>
      <c r="L6">
        <f>AVERAGEIF(Table1[[#All],[DEPARTMENT]],"HR",Table1[[#All],[SALARY]])</f>
        <v>40333.333333333336</v>
      </c>
    </row>
    <row r="7" spans="1:16" x14ac:dyDescent="0.3">
      <c r="E7" t="s">
        <v>10</v>
      </c>
      <c r="F7" t="s">
        <v>4</v>
      </c>
      <c r="G7">
        <v>38000</v>
      </c>
      <c r="H7">
        <v>78000</v>
      </c>
      <c r="I7">
        <v>72</v>
      </c>
    </row>
    <row r="8" spans="1:16" x14ac:dyDescent="0.3">
      <c r="E8" t="s">
        <v>11</v>
      </c>
      <c r="F8" t="s">
        <v>16</v>
      </c>
      <c r="G8">
        <v>42000</v>
      </c>
      <c r="H8">
        <v>65000</v>
      </c>
      <c r="I8">
        <v>80</v>
      </c>
      <c r="K8" s="4" t="s">
        <v>25</v>
      </c>
      <c r="L8">
        <f>COUNT(Table1[[#All],[SALARY]])</f>
        <v>11</v>
      </c>
    </row>
    <row r="9" spans="1:16" x14ac:dyDescent="0.3">
      <c r="E9" t="s">
        <v>12</v>
      </c>
      <c r="F9" t="s">
        <v>17</v>
      </c>
      <c r="G9">
        <v>55000</v>
      </c>
      <c r="H9">
        <v>105000</v>
      </c>
      <c r="I9">
        <v>95</v>
      </c>
      <c r="K9" s="4" t="s">
        <v>27</v>
      </c>
      <c r="L9">
        <f>COUNTIF(Table1[DEPARTMENT],"SALES")</f>
        <v>5</v>
      </c>
      <c r="M9" t="s">
        <v>4</v>
      </c>
    </row>
    <row r="10" spans="1:16" x14ac:dyDescent="0.3">
      <c r="E10" t="s">
        <v>13</v>
      </c>
      <c r="F10" t="s">
        <v>4</v>
      </c>
      <c r="G10">
        <v>36000</v>
      </c>
      <c r="H10">
        <v>72000</v>
      </c>
      <c r="I10">
        <v>68</v>
      </c>
    </row>
    <row r="11" spans="1:16" x14ac:dyDescent="0.3">
      <c r="E11" t="s">
        <v>14</v>
      </c>
      <c r="F11" t="s">
        <v>17</v>
      </c>
      <c r="G11">
        <v>48000</v>
      </c>
      <c r="H11">
        <v>90000</v>
      </c>
      <c r="I11">
        <v>85</v>
      </c>
      <c r="K11" s="6" t="s">
        <v>26</v>
      </c>
      <c r="L11">
        <f>COUNTIFS(Table1[DEPARTMENT],"SALES",Table1[EMPLOYEE],"RAHUL")</f>
        <v>2</v>
      </c>
    </row>
    <row r="12" spans="1:16" x14ac:dyDescent="0.3">
      <c r="E12" t="s">
        <v>15</v>
      </c>
      <c r="F12" t="s">
        <v>16</v>
      </c>
      <c r="G12">
        <v>39000</v>
      </c>
      <c r="H12">
        <v>58000</v>
      </c>
      <c r="I12">
        <v>70</v>
      </c>
      <c r="K12" s="6" t="s">
        <v>29</v>
      </c>
      <c r="L12">
        <f>AVERAGEIFS(Table1[SALARY],Table1[DEPARTMENT],"SALES",Table1[EMPLOYEE],"RAHUL")</f>
        <v>37500</v>
      </c>
    </row>
    <row r="13" spans="1:16" x14ac:dyDescent="0.3">
      <c r="E13" t="s">
        <v>6</v>
      </c>
      <c r="F13" t="s">
        <v>4</v>
      </c>
      <c r="G13">
        <v>40000</v>
      </c>
      <c r="H13">
        <v>85000</v>
      </c>
      <c r="I13">
        <v>82</v>
      </c>
      <c r="K13" s="6" t="s">
        <v>30</v>
      </c>
      <c r="L13">
        <f>SUMIFS(Table1[SALARY],Table1[DEPARTMENT],"SALES",Table1[EMPLOYEE],"RAHUL")</f>
        <v>75000</v>
      </c>
    </row>
    <row r="15" spans="1:16" x14ac:dyDescent="0.3">
      <c r="K15" s="5" t="s">
        <v>28</v>
      </c>
    </row>
    <row r="16" spans="1:16" x14ac:dyDescent="0.3">
      <c r="K16" t="str" cm="1">
        <f t="array" ref="K16:K18">_xlfn.UNIQUE(Table1[DEPARTMENT])</f>
        <v>SALES</v>
      </c>
      <c r="L16">
        <f>COUNTIF(Table1[DEPARTMENT],K16)</f>
        <v>5</v>
      </c>
    </row>
    <row r="17" spans="11:12" x14ac:dyDescent="0.3">
      <c r="K17" t="str">
        <v>HR</v>
      </c>
      <c r="L17">
        <f>COUNTIF(Table1[DEPARTMENT],K17)</f>
        <v>3</v>
      </c>
    </row>
    <row r="18" spans="11:12" x14ac:dyDescent="0.3">
      <c r="K18" t="str">
        <v>IT</v>
      </c>
      <c r="L18">
        <f>COUNTIF(Table1[DEPARTMENT],K18)</f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uttekar</dc:creator>
  <cp:lastModifiedBy>sanika uttekar</cp:lastModifiedBy>
  <dcterms:created xsi:type="dcterms:W3CDTF">2026-09-24T15:46:31Z</dcterms:created>
  <dcterms:modified xsi:type="dcterms:W3CDTF">2026-09-24T17:30:02Z</dcterms:modified>
</cp:coreProperties>
</file>